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i7\Documents\"/>
    </mc:Choice>
  </mc:AlternateContent>
  <xr:revisionPtr revIDLastSave="0" documentId="13_ncr:1_{6C906CE1-5850-48BE-B93C-FFF3C76EFA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73" i="1"/>
  <c r="D71" i="1"/>
  <c r="D69" i="1"/>
  <c r="D84" i="1"/>
  <c r="D61" i="1"/>
  <c r="D74" i="1" l="1"/>
  <c r="D72" i="1"/>
  <c r="D80" i="1" l="1"/>
  <c r="D82" i="1" l="1"/>
  <c r="D78" i="1" l="1"/>
  <c r="D76" i="1" l="1"/>
  <c r="D67" i="1"/>
  <c r="D66" i="1" l="1"/>
  <c r="D64" i="1" l="1"/>
  <c r="D65" i="1" l="1"/>
  <c r="D63" i="1"/>
  <c r="D59" i="1"/>
  <c r="D57" i="1" l="1"/>
  <c r="D58" i="1"/>
  <c r="D48" i="1" l="1"/>
  <c r="D7" i="1"/>
  <c r="D8" i="1"/>
  <c r="D9" i="1"/>
  <c r="D10" i="1"/>
  <c r="D11" i="1"/>
  <c r="D12" i="1"/>
  <c r="D13" i="1"/>
  <c r="D16" i="1"/>
  <c r="D6" i="1" l="1"/>
  <c r="D86" i="1" l="1"/>
  <c r="C89" i="1" s="1"/>
  <c r="D40" i="1"/>
  <c r="D39" i="1"/>
  <c r="D32" i="1"/>
  <c r="D33" i="1"/>
  <c r="D34" i="1"/>
  <c r="D35" i="1"/>
  <c r="D37" i="1"/>
  <c r="D38" i="1"/>
  <c r="D41" i="1"/>
  <c r="D18" i="1"/>
  <c r="D19" i="1"/>
  <c r="D20" i="1"/>
  <c r="D22" i="1"/>
  <c r="D23" i="1"/>
  <c r="D24" i="1"/>
  <c r="D25" i="1"/>
  <c r="D26" i="1"/>
  <c r="D27" i="1"/>
  <c r="D28" i="1"/>
  <c r="D29" i="1"/>
  <c r="D31" i="1"/>
  <c r="D42" i="1" l="1"/>
  <c r="B89" i="1" s="1"/>
  <c r="D89" i="1" s="1"/>
</calcChain>
</file>

<file path=xl/sharedStrings.xml><?xml version="1.0" encoding="utf-8"?>
<sst xmlns="http://schemas.openxmlformats.org/spreadsheetml/2006/main" count="79" uniqueCount="78">
  <si>
    <t xml:space="preserve">QTE / MOIS </t>
  </si>
  <si>
    <t xml:space="preserve">NOM ET PREMON </t>
  </si>
  <si>
    <t xml:space="preserve">TOTAL </t>
  </si>
  <si>
    <t xml:space="preserve">FAYA </t>
  </si>
  <si>
    <t>ABRI 2 000</t>
  </si>
  <si>
    <t xml:space="preserve">MAEVA  IMMOBILIER 
Location &amp; vente de bâtiment, Construction bâtiment, 
Travaux publique et Génie civil
</t>
  </si>
  <si>
    <t xml:space="preserve">SOLEIL 2 </t>
  </si>
  <si>
    <t xml:space="preserve">LISTE DES DEPENSES  </t>
  </si>
  <si>
    <t xml:space="preserve">DESIGNATION </t>
  </si>
  <si>
    <t>SOLDE RESTANT</t>
  </si>
  <si>
    <t>INDIVIDUEL</t>
  </si>
  <si>
    <t>TOTAL LOYER</t>
  </si>
  <si>
    <t>TOTAL DEPENSES</t>
  </si>
  <si>
    <t>TOTAL RESTES</t>
  </si>
  <si>
    <t xml:space="preserve">ASHUNDELE ADISSA </t>
  </si>
  <si>
    <t xml:space="preserve">AKA FRANCK </t>
  </si>
  <si>
    <t>BOBOGNON  SAMUEL</t>
  </si>
  <si>
    <t>YOUSSOUF GARDIEN FAYA</t>
  </si>
  <si>
    <t>SYNDIC ABRIS ET SOLEIL2</t>
  </si>
  <si>
    <t xml:space="preserve">SERVANTE PACIFIC </t>
  </si>
  <si>
    <t xml:space="preserve">SERVANTE DE SALIF PACIFIC </t>
  </si>
  <si>
    <t xml:space="preserve"> </t>
  </si>
  <si>
    <t>CANAL APPATAME ST.VIATEUR</t>
  </si>
  <si>
    <t>BI TAH ARMAND/ 5</t>
  </si>
  <si>
    <t>PORTE 7  ESSO JONAS ARMEL GNAGNA</t>
  </si>
  <si>
    <t xml:space="preserve">PORTE 4  ROYAL BODY  </t>
  </si>
  <si>
    <t xml:space="preserve">PORTE 6 CARRELLE YEBOUE   </t>
  </si>
  <si>
    <t xml:space="preserve">PORTE 9 MME OUATTARA </t>
  </si>
  <si>
    <t xml:space="preserve">P4  STEPHANIE NOELLE SIBAILLY   </t>
  </si>
  <si>
    <t>P9  FATOUMATA BAKAYOKO</t>
  </si>
  <si>
    <t>OUSMANE TRAORE DEPOT DU MOIS</t>
  </si>
  <si>
    <t>BINTA TRAORE DEPOT DU MOIS</t>
  </si>
  <si>
    <t xml:space="preserve">SOCIETE VEILLEUR DES MEDIAS </t>
  </si>
  <si>
    <t xml:space="preserve">   </t>
  </si>
  <si>
    <t xml:space="preserve">P2  ADJOUA NATHALIE GOLLY </t>
  </si>
  <si>
    <t xml:space="preserve">MME OUATTARA FATOUMATA  </t>
  </si>
  <si>
    <t>KLA PARFAIT REPETITEUR DE FAHO</t>
  </si>
  <si>
    <t xml:space="preserve">MONT UNIT  </t>
  </si>
  <si>
    <t xml:space="preserve">MONT TOTAL </t>
  </si>
  <si>
    <t xml:space="preserve">QTE /MOIS </t>
  </si>
  <si>
    <t xml:space="preserve"> MONT UNIT  </t>
  </si>
  <si>
    <t xml:space="preserve">P7  MILAMDOU </t>
  </si>
  <si>
    <t>P5 KONE KOROTOUMOU</t>
  </si>
  <si>
    <t xml:space="preserve">POPOTE DU MOIS CHEZ MAMAN PACIFIC </t>
  </si>
  <si>
    <t>MARIAMA ARGENT DE DU MOIS</t>
  </si>
  <si>
    <t>MAMADI ARGENT DU MOIS</t>
  </si>
  <si>
    <t xml:space="preserve">PORTE 8 MME NADO AYA SANGANOKO </t>
  </si>
  <si>
    <t xml:space="preserve">N'DAH DEHOUS </t>
  </si>
  <si>
    <t xml:space="preserve">P 1  DOSSONGUI CHEICK ISMAEL OUATTARA </t>
  </si>
  <si>
    <t xml:space="preserve">TOTI FRANCK  </t>
  </si>
  <si>
    <t>KOFFI TECHNICIEN SECURITE ENTRETIEN DU PORTAIL</t>
  </si>
  <si>
    <t xml:space="preserve">PORTE 1 HUMIDIT,EXPET   </t>
  </si>
  <si>
    <t xml:space="preserve">KEVIN LE JARDINIER SALAIRE POUR LES 3 MAISON </t>
  </si>
  <si>
    <t>P11 AYITER KOUAME DOIT 3 MOIS 90/ 265.000F RESTE A</t>
  </si>
  <si>
    <t xml:space="preserve">NETOYAGE ABRIS ET SOLEIL </t>
  </si>
  <si>
    <t>PORTE 3 ISMAEL SACKO NOUVAUX DÉJÀ PAYER</t>
  </si>
  <si>
    <t xml:space="preserve">PORTE 5 HONTOUNNOU DAMIEN </t>
  </si>
  <si>
    <t xml:space="preserve">PORTE </t>
  </si>
  <si>
    <t xml:space="preserve">P6  VIDE ALIE </t>
  </si>
  <si>
    <t>P10  ADINGRA  PAYER LE 25/06/26</t>
  </si>
  <si>
    <t xml:space="preserve">P8  MONDAH AKE PAUL ARNAUD PAYER   JUILLET ET AOUT </t>
  </si>
  <si>
    <t>P3  N.GUESSAN ROLANDE YAO PAYER  JUILLET ET AOUT</t>
  </si>
  <si>
    <t>WIFI DE MARIAM 3 MOIS PAYER 30 SEPTEMBRE</t>
  </si>
  <si>
    <t>CHAUFFEUR DE MAMAN SALAIRE 30.000F RETENUE</t>
  </si>
  <si>
    <t xml:space="preserve">AYENAN DEFODJI  </t>
  </si>
  <si>
    <t xml:space="preserve">PORTE 10 SYLLA DÉJÀ PAYER JUSQU,AU 31/09/2026  </t>
  </si>
  <si>
    <t>AKOUA ABOUSSAME MARI  PAYER 3 MOIS  31/09 /26</t>
  </si>
  <si>
    <t>SOMMES TOTAL REMIS AU BOSS      0F</t>
  </si>
  <si>
    <t>LISTE DES LOCATAIRES MOIS DE AOUT 2026</t>
  </si>
  <si>
    <t>PORTE 2 BAH SHEEZY JHY DOIT 4 MOIS PLUS 50.000F</t>
  </si>
  <si>
    <t xml:space="preserve">LYOUBI ABDEL MAJID PAYER 3 MOIS 31/09/26 </t>
  </si>
  <si>
    <t>MME DANHO DOIT 1 MOIS</t>
  </si>
  <si>
    <t xml:space="preserve">LE 18 /08/2026 </t>
  </si>
  <si>
    <t>LADJI TRAORE 23/07/26</t>
  </si>
  <si>
    <t>SALIE LA NIECE ARGENT DE PORCHE DU MOIS NON</t>
  </si>
  <si>
    <t xml:space="preserve">TRAVAUX DE LA PICINE CIAD 170.000F </t>
  </si>
  <si>
    <t>CISSE VITRIER  350.000F AVANCE 300K RESTE 50K</t>
  </si>
  <si>
    <t>ELECTRICITE CHEZ MARIAM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</si>
</sst>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0</xdr:rowOff>
    </xdr:from>
    <xdr:to>
      <xdr:col>0</xdr:col>
      <xdr:colOff>1247774</xdr:colOff>
      <xdr:row>1</xdr:row>
      <xdr:rowOff>4394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4F83E50-83DC-4F1B-9CE1-3DE9A6F81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2" t="6126" r="5884" b="6039"/>
        <a:stretch>
          <a:fillRect/>
        </a:stretch>
      </xdr:blipFill>
      <xdr:spPr bwMode="auto">
        <a:xfrm>
          <a:off x="133350" y="0"/>
          <a:ext cx="1114424" cy="7854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topLeftCell="A55" zoomScale="89" zoomScaleNormal="89" workbookViewId="0">
      <selection activeCell="B59" sqref="B59"/>
    </sheetView>
  </sheetViews>
  <sheetFormatPr baseColWidth="10" defaultColWidth="11.42578125" defaultRowHeight="15" x14ac:dyDescent="0.25"/>
  <cols>
    <col min="1" max="1" width="49.85546875" style="1" customWidth="1"/>
    <col min="2" max="2" width="11" style="3" customWidth="1"/>
    <col min="3" max="3" width="16.5703125" style="3" customWidth="1"/>
    <col min="4" max="4" width="15.140625" style="1" customWidth="1"/>
    <col min="5" max="10" width="11.42578125" style="1"/>
    <col min="11" max="11" width="11" style="1" customWidth="1"/>
    <col min="12" max="16384" width="11.42578125" style="1"/>
  </cols>
  <sheetData>
    <row r="1" spans="1:5" customFormat="1" ht="61.5" customHeight="1" x14ac:dyDescent="0.25">
      <c r="A1" s="19" t="s">
        <v>5</v>
      </c>
      <c r="B1" s="19"/>
      <c r="C1" s="19"/>
      <c r="D1" s="19"/>
    </row>
    <row r="2" spans="1:5" s="6" customFormat="1" ht="21" x14ac:dyDescent="0.35">
      <c r="A2" s="20" t="s">
        <v>68</v>
      </c>
      <c r="B2" s="21"/>
      <c r="C2" s="21"/>
      <c r="D2" s="21"/>
      <c r="E2" s="7"/>
    </row>
    <row r="3" spans="1:5" x14ac:dyDescent="0.25">
      <c r="A3"/>
      <c r="B3" s="9"/>
      <c r="C3" s="9"/>
      <c r="D3"/>
      <c r="E3" s="8"/>
    </row>
    <row r="4" spans="1:5" s="2" customFormat="1" x14ac:dyDescent="0.25">
      <c r="A4" s="2" t="s">
        <v>1</v>
      </c>
      <c r="B4" s="4" t="s">
        <v>0</v>
      </c>
      <c r="C4" s="4" t="s">
        <v>37</v>
      </c>
      <c r="D4" s="2" t="s">
        <v>38</v>
      </c>
    </row>
    <row r="5" spans="1:5" ht="18.75" x14ac:dyDescent="0.3">
      <c r="A5" s="29" t="s">
        <v>6</v>
      </c>
      <c r="B5" s="30"/>
      <c r="C5" s="30"/>
      <c r="D5" s="31"/>
    </row>
    <row r="6" spans="1:5" x14ac:dyDescent="0.25">
      <c r="A6" s="1" t="s">
        <v>51</v>
      </c>
      <c r="B6" s="3">
        <v>0</v>
      </c>
      <c r="C6" s="5">
        <v>140000</v>
      </c>
      <c r="D6" s="1">
        <f>B6*C6</f>
        <v>0</v>
      </c>
    </row>
    <row r="7" spans="1:5" x14ac:dyDescent="0.25">
      <c r="A7" s="1" t="s">
        <v>69</v>
      </c>
      <c r="B7" s="3">
        <v>0</v>
      </c>
      <c r="C7" s="5">
        <v>110000</v>
      </c>
      <c r="D7" s="1">
        <f t="shared" ref="D7:D16" si="0">B7*C7</f>
        <v>0</v>
      </c>
    </row>
    <row r="8" spans="1:5" x14ac:dyDescent="0.25">
      <c r="A8" s="1" t="s">
        <v>55</v>
      </c>
      <c r="B8" s="3">
        <v>0</v>
      </c>
      <c r="C8" s="5">
        <v>160000</v>
      </c>
      <c r="D8" s="1">
        <f t="shared" si="0"/>
        <v>0</v>
      </c>
    </row>
    <row r="9" spans="1:5" x14ac:dyDescent="0.25">
      <c r="A9" s="1" t="s">
        <v>25</v>
      </c>
      <c r="B9" s="3">
        <v>0</v>
      </c>
      <c r="C9" s="5">
        <v>240000</v>
      </c>
      <c r="D9" s="1">
        <f t="shared" si="0"/>
        <v>0</v>
      </c>
    </row>
    <row r="10" spans="1:5" x14ac:dyDescent="0.25">
      <c r="A10" s="1" t="s">
        <v>56</v>
      </c>
      <c r="B10" s="3">
        <v>0</v>
      </c>
      <c r="C10" s="5">
        <v>150000</v>
      </c>
      <c r="D10" s="1">
        <f t="shared" si="0"/>
        <v>0</v>
      </c>
    </row>
    <row r="11" spans="1:5" x14ac:dyDescent="0.25">
      <c r="A11" s="1" t="s">
        <v>26</v>
      </c>
      <c r="B11" s="3">
        <v>0</v>
      </c>
      <c r="C11" s="5">
        <v>95000</v>
      </c>
      <c r="D11" s="1">
        <f t="shared" si="0"/>
        <v>0</v>
      </c>
    </row>
    <row r="12" spans="1:5" x14ac:dyDescent="0.25">
      <c r="A12" s="1" t="s">
        <v>24</v>
      </c>
      <c r="B12" s="3">
        <v>0</v>
      </c>
      <c r="C12" s="5">
        <v>90000</v>
      </c>
      <c r="D12" s="1">
        <f t="shared" si="0"/>
        <v>0</v>
      </c>
    </row>
    <row r="13" spans="1:5" x14ac:dyDescent="0.25">
      <c r="A13" s="1" t="s">
        <v>46</v>
      </c>
      <c r="B13" s="3">
        <v>0</v>
      </c>
      <c r="C13" s="5">
        <v>280000</v>
      </c>
      <c r="D13" s="1">
        <f t="shared" si="0"/>
        <v>0</v>
      </c>
    </row>
    <row r="14" spans="1:5" x14ac:dyDescent="0.25">
      <c r="A14" s="1" t="s">
        <v>27</v>
      </c>
      <c r="B14" s="3">
        <v>0</v>
      </c>
      <c r="C14" s="5">
        <v>320000</v>
      </c>
      <c r="D14" s="1">
        <v>0</v>
      </c>
    </row>
    <row r="15" spans="1:5" x14ac:dyDescent="0.25">
      <c r="A15" s="1" t="s">
        <v>65</v>
      </c>
      <c r="B15" s="3">
        <v>0</v>
      </c>
      <c r="C15" s="5">
        <v>150000</v>
      </c>
      <c r="D15" s="1">
        <f t="shared" si="0"/>
        <v>0</v>
      </c>
    </row>
    <row r="16" spans="1:5" x14ac:dyDescent="0.25">
      <c r="A16" s="1" t="s">
        <v>57</v>
      </c>
      <c r="B16" s="3">
        <v>0</v>
      </c>
      <c r="C16" s="5">
        <v>0</v>
      </c>
      <c r="D16" s="1">
        <f t="shared" si="0"/>
        <v>0</v>
      </c>
    </row>
    <row r="17" spans="1:4" ht="21" x14ac:dyDescent="0.35">
      <c r="A17" s="26" t="s">
        <v>10</v>
      </c>
      <c r="B17" s="27"/>
      <c r="C17" s="27"/>
      <c r="D17" s="28"/>
    </row>
    <row r="18" spans="1:4" x14ac:dyDescent="0.25">
      <c r="A18" s="1" t="s">
        <v>32</v>
      </c>
      <c r="B18" s="3">
        <v>0</v>
      </c>
      <c r="C18" s="5">
        <v>1500000</v>
      </c>
      <c r="D18" s="1">
        <f t="shared" ref="D18:D41" si="1">B18*C18</f>
        <v>0</v>
      </c>
    </row>
    <row r="19" spans="1:4" x14ac:dyDescent="0.25">
      <c r="A19" s="1" t="s">
        <v>16</v>
      </c>
      <c r="B19" s="3">
        <v>0</v>
      </c>
      <c r="C19" s="5">
        <v>650000</v>
      </c>
      <c r="D19" s="1">
        <f t="shared" si="1"/>
        <v>0</v>
      </c>
    </row>
    <row r="20" spans="1:4" x14ac:dyDescent="0.25">
      <c r="A20" s="1" t="s">
        <v>70</v>
      </c>
      <c r="B20" s="3">
        <v>0</v>
      </c>
      <c r="C20" s="5">
        <v>750000</v>
      </c>
      <c r="D20" s="1">
        <f t="shared" si="1"/>
        <v>0</v>
      </c>
    </row>
    <row r="21" spans="1:4" ht="21" x14ac:dyDescent="0.35">
      <c r="A21" s="26" t="s">
        <v>3</v>
      </c>
      <c r="B21" s="27"/>
      <c r="C21" s="27"/>
      <c r="D21" s="28"/>
    </row>
    <row r="22" spans="1:4" x14ac:dyDescent="0.25">
      <c r="A22" s="1" t="s">
        <v>49</v>
      </c>
      <c r="B22" s="3">
        <v>0</v>
      </c>
      <c r="C22" s="5">
        <v>150000</v>
      </c>
      <c r="D22" s="1">
        <f t="shared" si="1"/>
        <v>0</v>
      </c>
    </row>
    <row r="23" spans="1:4" x14ac:dyDescent="0.25">
      <c r="A23" s="1" t="s">
        <v>47</v>
      </c>
      <c r="B23" s="3">
        <v>0</v>
      </c>
      <c r="C23" s="5">
        <v>150000</v>
      </c>
      <c r="D23" s="1">
        <f t="shared" si="1"/>
        <v>0</v>
      </c>
    </row>
    <row r="24" spans="1:4" x14ac:dyDescent="0.25">
      <c r="A24" s="1" t="s">
        <v>15</v>
      </c>
      <c r="C24" s="5">
        <v>180000</v>
      </c>
      <c r="D24" s="1">
        <f t="shared" si="1"/>
        <v>0</v>
      </c>
    </row>
    <row r="25" spans="1:4" x14ac:dyDescent="0.25">
      <c r="A25" s="1" t="s">
        <v>35</v>
      </c>
      <c r="B25" s="3">
        <v>0</v>
      </c>
      <c r="C25" s="5">
        <v>150000</v>
      </c>
      <c r="D25" s="1">
        <f t="shared" si="1"/>
        <v>0</v>
      </c>
    </row>
    <row r="26" spans="1:4" x14ac:dyDescent="0.25">
      <c r="A26" s="1" t="s">
        <v>71</v>
      </c>
      <c r="B26" s="3">
        <v>1</v>
      </c>
      <c r="C26" s="5">
        <v>180000</v>
      </c>
      <c r="D26" s="1">
        <f t="shared" si="1"/>
        <v>180000</v>
      </c>
    </row>
    <row r="27" spans="1:4" x14ac:dyDescent="0.25">
      <c r="A27" s="1" t="s">
        <v>64</v>
      </c>
      <c r="B27" s="3">
        <v>0</v>
      </c>
      <c r="C27" s="5">
        <v>150000</v>
      </c>
      <c r="D27" s="1">
        <f t="shared" si="1"/>
        <v>0</v>
      </c>
    </row>
    <row r="28" spans="1:4" x14ac:dyDescent="0.25">
      <c r="A28" s="1" t="s">
        <v>14</v>
      </c>
      <c r="B28" s="3">
        <v>0</v>
      </c>
      <c r="C28" s="5">
        <v>150000</v>
      </c>
      <c r="D28" s="1">
        <f t="shared" si="1"/>
        <v>0</v>
      </c>
    </row>
    <row r="29" spans="1:4" x14ac:dyDescent="0.25">
      <c r="A29" s="1" t="s">
        <v>66</v>
      </c>
      <c r="B29" s="3">
        <v>0</v>
      </c>
      <c r="C29" s="5">
        <v>150000</v>
      </c>
      <c r="D29" s="1">
        <f t="shared" si="1"/>
        <v>0</v>
      </c>
    </row>
    <row r="30" spans="1:4" ht="21" x14ac:dyDescent="0.35">
      <c r="A30" s="26" t="s">
        <v>4</v>
      </c>
      <c r="B30" s="27"/>
      <c r="C30" s="27"/>
      <c r="D30" s="28"/>
    </row>
    <row r="31" spans="1:4" x14ac:dyDescent="0.25">
      <c r="A31" s="1" t="s">
        <v>48</v>
      </c>
      <c r="B31" s="3">
        <v>0</v>
      </c>
      <c r="C31" s="5">
        <v>90000</v>
      </c>
      <c r="D31" s="1">
        <f t="shared" si="1"/>
        <v>0</v>
      </c>
    </row>
    <row r="32" spans="1:4" x14ac:dyDescent="0.25">
      <c r="A32" s="1" t="s">
        <v>34</v>
      </c>
      <c r="B32" s="3">
        <v>0</v>
      </c>
      <c r="C32" s="5">
        <v>100000</v>
      </c>
      <c r="D32" s="1">
        <f t="shared" si="1"/>
        <v>0</v>
      </c>
    </row>
    <row r="33" spans="1:4" x14ac:dyDescent="0.25">
      <c r="A33" s="1" t="s">
        <v>61</v>
      </c>
      <c r="B33" s="3">
        <v>0</v>
      </c>
      <c r="C33" s="5">
        <v>230000</v>
      </c>
      <c r="D33" s="1">
        <f t="shared" si="1"/>
        <v>0</v>
      </c>
    </row>
    <row r="34" spans="1:4" x14ac:dyDescent="0.25">
      <c r="A34" s="1" t="s">
        <v>28</v>
      </c>
      <c r="B34" s="3">
        <v>0</v>
      </c>
      <c r="C34" s="5">
        <v>140000</v>
      </c>
      <c r="D34" s="1">
        <f t="shared" si="1"/>
        <v>0</v>
      </c>
    </row>
    <row r="35" spans="1:4" x14ac:dyDescent="0.25">
      <c r="A35" s="1" t="s">
        <v>42</v>
      </c>
      <c r="B35" s="3">
        <v>0</v>
      </c>
      <c r="C35" s="5">
        <v>100000</v>
      </c>
      <c r="D35" s="1">
        <f t="shared" si="1"/>
        <v>0</v>
      </c>
    </row>
    <row r="36" spans="1:4" x14ac:dyDescent="0.25">
      <c r="A36" s="1" t="s">
        <v>58</v>
      </c>
      <c r="B36" s="3">
        <v>0</v>
      </c>
      <c r="C36" s="5">
        <v>0</v>
      </c>
      <c r="D36" s="1">
        <v>0</v>
      </c>
    </row>
    <row r="37" spans="1:4" x14ac:dyDescent="0.25">
      <c r="A37" s="1" t="s">
        <v>41</v>
      </c>
      <c r="B37" s="3">
        <v>0</v>
      </c>
      <c r="C37" s="5">
        <v>150000</v>
      </c>
      <c r="D37" s="1">
        <f t="shared" si="1"/>
        <v>0</v>
      </c>
    </row>
    <row r="38" spans="1:4" x14ac:dyDescent="0.25">
      <c r="A38" s="1" t="s">
        <v>60</v>
      </c>
      <c r="B38" s="3">
        <v>0</v>
      </c>
      <c r="C38" s="5">
        <v>85000</v>
      </c>
      <c r="D38" s="1">
        <f t="shared" si="1"/>
        <v>0</v>
      </c>
    </row>
    <row r="39" spans="1:4" x14ac:dyDescent="0.25">
      <c r="A39" s="1" t="s">
        <v>29</v>
      </c>
      <c r="B39" s="3">
        <v>0</v>
      </c>
      <c r="C39" s="5">
        <v>80000</v>
      </c>
      <c r="D39" s="1">
        <f t="shared" si="1"/>
        <v>0</v>
      </c>
    </row>
    <row r="40" spans="1:4" x14ac:dyDescent="0.25">
      <c r="A40" s="1" t="s">
        <v>59</v>
      </c>
      <c r="B40" s="3">
        <v>0</v>
      </c>
      <c r="C40" s="5">
        <v>80000</v>
      </c>
      <c r="D40" s="1">
        <f t="shared" si="1"/>
        <v>0</v>
      </c>
    </row>
    <row r="41" spans="1:4" x14ac:dyDescent="0.25">
      <c r="A41" s="1" t="s">
        <v>53</v>
      </c>
      <c r="B41" s="3">
        <v>0</v>
      </c>
      <c r="C41" s="5">
        <v>90000</v>
      </c>
      <c r="D41" s="1">
        <f t="shared" si="1"/>
        <v>0</v>
      </c>
    </row>
    <row r="42" spans="1:4" x14ac:dyDescent="0.25">
      <c r="A42" s="22" t="s">
        <v>2</v>
      </c>
      <c r="B42" s="22"/>
      <c r="C42" s="22"/>
      <c r="D42" s="2">
        <f>SUM(D6:D41)</f>
        <v>180000</v>
      </c>
    </row>
    <row r="44" spans="1:4" ht="15.75" x14ac:dyDescent="0.25">
      <c r="A44" s="23" t="s">
        <v>7</v>
      </c>
      <c r="B44" s="24"/>
      <c r="C44" s="24"/>
      <c r="D44" s="24"/>
    </row>
    <row r="45" spans="1:4" ht="15.75" x14ac:dyDescent="0.25">
      <c r="A45" s="10"/>
      <c r="B45" s="11"/>
      <c r="C45" s="11"/>
      <c r="D45" s="10"/>
    </row>
    <row r="46" spans="1:4" ht="15.75" x14ac:dyDescent="0.25">
      <c r="A46" s="12" t="s">
        <v>8</v>
      </c>
      <c r="B46" s="13" t="s">
        <v>39</v>
      </c>
      <c r="C46" s="13" t="s">
        <v>40</v>
      </c>
      <c r="D46" s="12" t="s">
        <v>21</v>
      </c>
    </row>
    <row r="47" spans="1:4" ht="15.75" x14ac:dyDescent="0.25">
      <c r="A47" s="14"/>
      <c r="B47" s="15">
        <v>0</v>
      </c>
      <c r="C47" s="16">
        <v>0</v>
      </c>
      <c r="D47" s="14">
        <v>0</v>
      </c>
    </row>
    <row r="48" spans="1:4" ht="15.75" x14ac:dyDescent="0.25">
      <c r="A48" s="14" t="s">
        <v>62</v>
      </c>
      <c r="B48" s="15">
        <v>0</v>
      </c>
      <c r="C48" s="16">
        <v>20000</v>
      </c>
      <c r="D48" s="14">
        <f t="shared" ref="D48:D82" si="2">B48*C48</f>
        <v>0</v>
      </c>
    </row>
    <row r="49" spans="1:4" ht="15.75" x14ac:dyDescent="0.25">
      <c r="A49" s="14"/>
      <c r="B49" s="15">
        <v>0</v>
      </c>
      <c r="C49" s="16">
        <v>0</v>
      </c>
      <c r="D49" s="14">
        <v>0</v>
      </c>
    </row>
    <row r="50" spans="1:4" ht="15.75" x14ac:dyDescent="0.25">
      <c r="A50" s="14" t="s">
        <v>75</v>
      </c>
      <c r="B50" s="15">
        <v>1</v>
      </c>
      <c r="C50" s="16">
        <v>171700</v>
      </c>
      <c r="D50" s="14">
        <v>171700</v>
      </c>
    </row>
    <row r="51" spans="1:4" ht="15.75" x14ac:dyDescent="0.25">
      <c r="A51" s="14"/>
      <c r="B51" s="15">
        <v>0</v>
      </c>
      <c r="C51" s="16">
        <v>0</v>
      </c>
      <c r="D51" s="14">
        <v>0</v>
      </c>
    </row>
    <row r="52" spans="1:4" ht="15.75" x14ac:dyDescent="0.25">
      <c r="A52" s="14" t="s">
        <v>76</v>
      </c>
      <c r="B52" s="15">
        <v>1</v>
      </c>
      <c r="C52" s="16">
        <v>353500</v>
      </c>
      <c r="D52" s="14">
        <v>353500</v>
      </c>
    </row>
    <row r="53" spans="1:4" ht="15.75" x14ac:dyDescent="0.25">
      <c r="A53" s="14" t="s">
        <v>77</v>
      </c>
      <c r="B53" s="15">
        <v>1</v>
      </c>
      <c r="C53" s="16">
        <v>47700</v>
      </c>
      <c r="D53" s="14">
        <v>47700</v>
      </c>
    </row>
    <row r="54" spans="1:4" ht="15.75" x14ac:dyDescent="0.25">
      <c r="A54" s="14"/>
      <c r="B54" s="15"/>
      <c r="C54" s="16"/>
      <c r="D54" s="14"/>
    </row>
    <row r="55" spans="1:4" ht="15.75" x14ac:dyDescent="0.25">
      <c r="A55" s="14"/>
      <c r="B55" s="15"/>
      <c r="C55" s="16"/>
      <c r="D55" s="14"/>
    </row>
    <row r="56" spans="1:4" ht="15.75" x14ac:dyDescent="0.25">
      <c r="A56" s="14"/>
      <c r="B56" s="15"/>
      <c r="C56" s="16"/>
      <c r="D56" s="14"/>
    </row>
    <row r="57" spans="1:4" ht="15.75" x14ac:dyDescent="0.25">
      <c r="A57" s="14" t="s">
        <v>17</v>
      </c>
      <c r="B57" s="15">
        <v>0</v>
      </c>
      <c r="C57" s="16">
        <v>90000</v>
      </c>
      <c r="D57" s="14">
        <f t="shared" si="2"/>
        <v>0</v>
      </c>
    </row>
    <row r="58" spans="1:4" ht="15.75" x14ac:dyDescent="0.25">
      <c r="A58" s="14" t="s">
        <v>18</v>
      </c>
      <c r="B58" s="15">
        <v>0</v>
      </c>
      <c r="C58" s="16">
        <v>25000</v>
      </c>
      <c r="D58" s="14">
        <f t="shared" si="2"/>
        <v>0</v>
      </c>
    </row>
    <row r="59" spans="1:4" ht="15.75" x14ac:dyDescent="0.25">
      <c r="A59" s="14" t="s">
        <v>54</v>
      </c>
      <c r="B59" s="15">
        <v>0</v>
      </c>
      <c r="C59" s="16">
        <v>50000</v>
      </c>
      <c r="D59" s="14">
        <f t="shared" si="2"/>
        <v>0</v>
      </c>
    </row>
    <row r="60" spans="1:4" ht="15.75" x14ac:dyDescent="0.25">
      <c r="A60" s="14"/>
      <c r="B60" s="15"/>
      <c r="C60" s="16"/>
      <c r="D60" s="14"/>
    </row>
    <row r="61" spans="1:4" ht="15.75" x14ac:dyDescent="0.25">
      <c r="A61" s="14" t="s">
        <v>63</v>
      </c>
      <c r="B61" s="15">
        <v>1</v>
      </c>
      <c r="C61" s="16">
        <v>15500</v>
      </c>
      <c r="D61" s="14">
        <f t="shared" si="2"/>
        <v>15500</v>
      </c>
    </row>
    <row r="62" spans="1:4" ht="15.75" x14ac:dyDescent="0.25">
      <c r="A62" s="14"/>
      <c r="B62" s="15"/>
      <c r="C62" s="16"/>
      <c r="D62" s="14"/>
    </row>
    <row r="63" spans="1:4" ht="15.75" x14ac:dyDescent="0.25">
      <c r="A63" s="14" t="s">
        <v>43</v>
      </c>
      <c r="B63" s="15">
        <v>0</v>
      </c>
      <c r="C63" s="16">
        <v>250000</v>
      </c>
      <c r="D63" s="14">
        <f t="shared" si="2"/>
        <v>0</v>
      </c>
    </row>
    <row r="64" spans="1:4" ht="15.75" x14ac:dyDescent="0.25">
      <c r="A64" s="14" t="s">
        <v>31</v>
      </c>
      <c r="B64" s="15">
        <v>0</v>
      </c>
      <c r="C64" s="16">
        <v>474700</v>
      </c>
      <c r="D64" s="14">
        <f t="shared" si="2"/>
        <v>0</v>
      </c>
    </row>
    <row r="65" spans="1:4" ht="15.75" x14ac:dyDescent="0.25">
      <c r="A65" s="14" t="s">
        <v>30</v>
      </c>
      <c r="B65" s="15">
        <v>0</v>
      </c>
      <c r="C65" s="16">
        <v>353500</v>
      </c>
      <c r="D65" s="14">
        <f t="shared" si="2"/>
        <v>0</v>
      </c>
    </row>
    <row r="66" spans="1:4" ht="15.75" x14ac:dyDescent="0.25">
      <c r="A66" s="14" t="s">
        <v>19</v>
      </c>
      <c r="B66" s="15">
        <v>0</v>
      </c>
      <c r="C66" s="16">
        <v>30000</v>
      </c>
      <c r="D66" s="14">
        <f t="shared" si="2"/>
        <v>0</v>
      </c>
    </row>
    <row r="67" spans="1:4" ht="15.75" x14ac:dyDescent="0.25">
      <c r="A67" s="14" t="s">
        <v>20</v>
      </c>
      <c r="B67" s="15">
        <v>0</v>
      </c>
      <c r="C67" s="16">
        <v>30000</v>
      </c>
      <c r="D67" s="14">
        <f t="shared" si="2"/>
        <v>0</v>
      </c>
    </row>
    <row r="68" spans="1:4" ht="15.75" x14ac:dyDescent="0.25">
      <c r="A68" s="14"/>
      <c r="B68" s="15"/>
      <c r="C68" s="16"/>
      <c r="D68" s="14"/>
    </row>
    <row r="69" spans="1:4" ht="15.75" x14ac:dyDescent="0.25">
      <c r="A69" s="14" t="s">
        <v>73</v>
      </c>
      <c r="B69" s="15">
        <v>1</v>
      </c>
      <c r="C69" s="16">
        <v>5050</v>
      </c>
      <c r="D69" s="14">
        <f t="shared" si="2"/>
        <v>5050</v>
      </c>
    </row>
    <row r="70" spans="1:4" ht="15.75" x14ac:dyDescent="0.25">
      <c r="A70" s="14"/>
      <c r="B70" s="15"/>
      <c r="C70" s="16"/>
      <c r="D70" s="14"/>
    </row>
    <row r="71" spans="1:4" ht="15.75" x14ac:dyDescent="0.25">
      <c r="A71" s="14" t="s">
        <v>45</v>
      </c>
      <c r="B71" s="15">
        <v>0</v>
      </c>
      <c r="C71" s="16">
        <v>20000</v>
      </c>
      <c r="D71" s="14">
        <f t="shared" si="2"/>
        <v>0</v>
      </c>
    </row>
    <row r="72" spans="1:4" ht="15.75" x14ac:dyDescent="0.25">
      <c r="A72" s="14" t="s">
        <v>74</v>
      </c>
      <c r="B72" s="15">
        <v>0</v>
      </c>
      <c r="C72" s="16">
        <v>20000</v>
      </c>
      <c r="D72" s="14">
        <f>B72*C72</f>
        <v>0</v>
      </c>
    </row>
    <row r="73" spans="1:4" ht="15.75" x14ac:dyDescent="0.25">
      <c r="A73" s="14" t="s">
        <v>44</v>
      </c>
      <c r="B73" s="15">
        <v>0</v>
      </c>
      <c r="C73" s="16">
        <v>20000</v>
      </c>
      <c r="D73" s="14">
        <f>B73*C73</f>
        <v>0</v>
      </c>
    </row>
    <row r="74" spans="1:4" ht="15.75" x14ac:dyDescent="0.25">
      <c r="A74" s="14"/>
      <c r="B74" s="15">
        <v>0</v>
      </c>
      <c r="C74" s="16">
        <v>0</v>
      </c>
      <c r="D74" s="14">
        <f>B74*C74</f>
        <v>0</v>
      </c>
    </row>
    <row r="75" spans="1:4" ht="15.75" x14ac:dyDescent="0.25">
      <c r="A75" s="14"/>
      <c r="B75" s="15"/>
      <c r="C75" s="16"/>
      <c r="D75" s="14"/>
    </row>
    <row r="76" spans="1:4" ht="15.75" x14ac:dyDescent="0.25">
      <c r="A76" s="14" t="s">
        <v>50</v>
      </c>
      <c r="B76" s="15">
        <v>0</v>
      </c>
      <c r="C76" s="16">
        <v>30300</v>
      </c>
      <c r="D76" s="14">
        <f t="shared" si="2"/>
        <v>0</v>
      </c>
    </row>
    <row r="77" spans="1:4" ht="15.75" x14ac:dyDescent="0.25">
      <c r="A77" s="14"/>
      <c r="B77" s="15"/>
      <c r="C77" s="16"/>
      <c r="D77" s="14"/>
    </row>
    <row r="78" spans="1:4" ht="15.75" x14ac:dyDescent="0.25">
      <c r="A78" s="14" t="s">
        <v>36</v>
      </c>
      <c r="B78" s="15">
        <v>0</v>
      </c>
      <c r="C78" s="16">
        <v>121200</v>
      </c>
      <c r="D78" s="14">
        <f t="shared" si="2"/>
        <v>0</v>
      </c>
    </row>
    <row r="79" spans="1:4" ht="15.75" x14ac:dyDescent="0.25">
      <c r="A79" s="14"/>
      <c r="B79" s="15"/>
      <c r="C79" s="16"/>
      <c r="D79" s="14"/>
    </row>
    <row r="80" spans="1:4" ht="15.75" x14ac:dyDescent="0.25">
      <c r="A80" s="14" t="s">
        <v>22</v>
      </c>
      <c r="B80" s="15">
        <v>0</v>
      </c>
      <c r="C80" s="16">
        <v>10200</v>
      </c>
      <c r="D80" s="14">
        <f t="shared" si="2"/>
        <v>0</v>
      </c>
    </row>
    <row r="81" spans="1:4" ht="15.75" x14ac:dyDescent="0.25">
      <c r="A81" s="14"/>
      <c r="B81" s="15">
        <v>0</v>
      </c>
      <c r="C81" s="16">
        <v>0</v>
      </c>
      <c r="D81" s="14">
        <v>0</v>
      </c>
    </row>
    <row r="82" spans="1:4" ht="15.75" x14ac:dyDescent="0.25">
      <c r="A82" s="14" t="s">
        <v>52</v>
      </c>
      <c r="B82" s="15">
        <v>0</v>
      </c>
      <c r="C82" s="16">
        <v>50500</v>
      </c>
      <c r="D82" s="14">
        <f t="shared" si="2"/>
        <v>0</v>
      </c>
    </row>
    <row r="83" spans="1:4" ht="15.75" x14ac:dyDescent="0.25">
      <c r="A83" s="14"/>
      <c r="B83" s="15"/>
      <c r="C83" s="16"/>
      <c r="D83" s="14"/>
    </row>
    <row r="84" spans="1:4" ht="15.75" x14ac:dyDescent="0.25">
      <c r="A84" s="14" t="s">
        <v>23</v>
      </c>
      <c r="B84" s="15">
        <v>0</v>
      </c>
      <c r="C84" s="16">
        <v>0</v>
      </c>
      <c r="D84" s="14">
        <f>B84*C84</f>
        <v>0</v>
      </c>
    </row>
    <row r="85" spans="1:4" ht="15.75" x14ac:dyDescent="0.25">
      <c r="A85" s="14" t="s">
        <v>33</v>
      </c>
      <c r="B85" s="15"/>
      <c r="C85" s="16"/>
      <c r="D85" s="14"/>
    </row>
    <row r="86" spans="1:4" ht="15.75" x14ac:dyDescent="0.25">
      <c r="A86" s="25" t="s">
        <v>2</v>
      </c>
      <c r="B86" s="25"/>
      <c r="C86" s="25"/>
      <c r="D86" s="12">
        <f>SUM(D47:D85)</f>
        <v>593450</v>
      </c>
    </row>
    <row r="88" spans="1:4" x14ac:dyDescent="0.25">
      <c r="B88" s="3" t="s">
        <v>11</v>
      </c>
      <c r="C88" s="3" t="s">
        <v>12</v>
      </c>
      <c r="D88" s="1" t="s">
        <v>13</v>
      </c>
    </row>
    <row r="89" spans="1:4" x14ac:dyDescent="0.25">
      <c r="A89" s="17" t="s">
        <v>9</v>
      </c>
      <c r="B89" s="18">
        <f>D42</f>
        <v>180000</v>
      </c>
      <c r="C89" s="18">
        <f>D86</f>
        <v>593450</v>
      </c>
      <c r="D89" s="17">
        <f>B89-C89</f>
        <v>-413450</v>
      </c>
    </row>
    <row r="91" spans="1:4" x14ac:dyDescent="0.25">
      <c r="A91" s="1" t="s">
        <v>72</v>
      </c>
    </row>
    <row r="92" spans="1:4" x14ac:dyDescent="0.25">
      <c r="A92" s="1" t="s">
        <v>67</v>
      </c>
    </row>
  </sheetData>
  <mergeCells count="9">
    <mergeCell ref="A1:D1"/>
    <mergeCell ref="A2:D2"/>
    <mergeCell ref="A42:C42"/>
    <mergeCell ref="A44:D44"/>
    <mergeCell ref="A86:C86"/>
    <mergeCell ref="A21:D21"/>
    <mergeCell ref="A5:D5"/>
    <mergeCell ref="A30:D30"/>
    <mergeCell ref="A17:D17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Drissa coulibaly</dc:creator>
  <cp:lastModifiedBy>DELL i7</cp:lastModifiedBy>
  <cp:lastPrinted>2025-08-27T12:10:16Z</cp:lastPrinted>
  <dcterms:created xsi:type="dcterms:W3CDTF">2024-06-03T10:12:04Z</dcterms:created>
  <dcterms:modified xsi:type="dcterms:W3CDTF">2026-07-29T19:04:08Z</dcterms:modified>
</cp:coreProperties>
</file>